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6" i="1" l="1"/>
</calcChain>
</file>

<file path=xl/sharedStrings.xml><?xml version="1.0" encoding="utf-8"?>
<sst xmlns="http://schemas.openxmlformats.org/spreadsheetml/2006/main" count="414" uniqueCount="155">
  <si>
    <t>Tim's Landscaping and Design</t>
  </si>
  <si>
    <t>Sales by Customer Detail</t>
  </si>
  <si>
    <t>January 1-July 27, 2026</t>
  </si>
  <si>
    <t>Amy's Bird Sanctuary</t>
  </si>
  <si>
    <t>04/11/2026</t>
  </si>
  <si>
    <t>Invoice</t>
  </si>
  <si>
    <t>1025</t>
  </si>
  <si>
    <t>Gardening</t>
  </si>
  <si>
    <t>Weekly Gardening Service</t>
  </si>
  <si>
    <t>Pest Control</t>
  </si>
  <si>
    <t>Pest Control Services</t>
  </si>
  <si>
    <t>Maintenance &amp; Repair</t>
  </si>
  <si>
    <t>05/07/2026</t>
  </si>
  <si>
    <t>1021</t>
  </si>
  <si>
    <t>Soil</t>
  </si>
  <si>
    <t>2 cubic ft. bag</t>
  </si>
  <si>
    <t>Rock Fountain</t>
  </si>
  <si>
    <t>05/12/2026</t>
  </si>
  <si>
    <t>Credit Memo</t>
  </si>
  <si>
    <t>1026</t>
  </si>
  <si>
    <t>05/26/2026</t>
  </si>
  <si>
    <t>1001</t>
  </si>
  <si>
    <t>Total for Amy's Bird Sanctuary</t>
  </si>
  <si>
    <t>Bill's Windsurf Shop</t>
  </si>
  <si>
    <t>02/11/2026</t>
  </si>
  <si>
    <t>1002</t>
  </si>
  <si>
    <t>1027</t>
  </si>
  <si>
    <t>Total for Bill's Windsurf Shop</t>
  </si>
  <si>
    <t>Cool Cars</t>
  </si>
  <si>
    <t>05/17/2026</t>
  </si>
  <si>
    <t>1004</t>
  </si>
  <si>
    <t>Sprinkler Heads</t>
  </si>
  <si>
    <t>Sprinkler Pipes</t>
  </si>
  <si>
    <t>Sod</t>
  </si>
  <si>
    <t>Services</t>
  </si>
  <si>
    <t>Installation Hours</t>
  </si>
  <si>
    <t>Total for Cool Cars</t>
  </si>
  <si>
    <t>Diego Rodriguez</t>
  </si>
  <si>
    <t>05/25/2026</t>
  </si>
  <si>
    <t>Sales Receipt</t>
  </si>
  <si>
    <t>1014</t>
  </si>
  <si>
    <t>Total for Diego Rodriguez</t>
  </si>
  <si>
    <t>Dukes Basketball Camp</t>
  </si>
  <si>
    <t>1029</t>
  </si>
  <si>
    <t>Concrete</t>
  </si>
  <si>
    <t>Concrete for fountain installation</t>
  </si>
  <si>
    <t>Rocks</t>
  </si>
  <si>
    <t>Garden Rocks</t>
  </si>
  <si>
    <t>Total for Dukes Basketball Camp</t>
  </si>
  <si>
    <t>Dylan Sollfrank</t>
  </si>
  <si>
    <t>05/24/2026</t>
  </si>
  <si>
    <t>1003</t>
  </si>
  <si>
    <t>Design</t>
  </si>
  <si>
    <t>Custom Design</t>
  </si>
  <si>
    <t>Total for Dylan Sollfrank</t>
  </si>
  <si>
    <t>Freeman Sporting Goods</t>
  </si>
  <si>
    <t>0969 Ocean View Road</t>
  </si>
  <si>
    <t>1030</t>
  </si>
  <si>
    <t>03/14/2026</t>
  </si>
  <si>
    <t>1031</t>
  </si>
  <si>
    <t>05/29/2026</t>
  </si>
  <si>
    <t>1036</t>
  </si>
  <si>
    <t>Pump</t>
  </si>
  <si>
    <t>Fountain Pump</t>
  </si>
  <si>
    <t>Total for 0969 Ocean View Road</t>
  </si>
  <si>
    <t>55 Twin Lane</t>
  </si>
  <si>
    <t>1028</t>
  </si>
  <si>
    <t>04/20/2026</t>
  </si>
  <si>
    <t>1006</t>
  </si>
  <si>
    <t>05/20/2026</t>
  </si>
  <si>
    <t>1005</t>
  </si>
  <si>
    <t>Total for 55 Twin Lane</t>
  </si>
  <si>
    <t>Total for Freeman Sporting Goods with sub-customers</t>
  </si>
  <si>
    <t>Geeta Kalapatapu</t>
  </si>
  <si>
    <t>05/28/2026</t>
  </si>
  <si>
    <t>1033</t>
  </si>
  <si>
    <t>Total for Geeta Kalapatapu</t>
  </si>
  <si>
    <t>Jeff's Jalopies</t>
  </si>
  <si>
    <t>1022</t>
  </si>
  <si>
    <t>Total for Jeff's Jalopies</t>
  </si>
  <si>
    <t>John Melton</t>
  </si>
  <si>
    <t>05/04/2026</t>
  </si>
  <si>
    <t>1007</t>
  </si>
  <si>
    <t>Total for John Melton</t>
  </si>
  <si>
    <t>Kate Whelan</t>
  </si>
  <si>
    <t>1008</t>
  </si>
  <si>
    <t>Total for Kate Whelan</t>
  </si>
  <si>
    <t>Kookies by Kathy</t>
  </si>
  <si>
    <t>04/10/2026</t>
  </si>
  <si>
    <t>1016</t>
  </si>
  <si>
    <t>Total for Kookies by Kathy</t>
  </si>
  <si>
    <t>Mark Cho</t>
  </si>
  <si>
    <t>1035</t>
  </si>
  <si>
    <t>Total for Mark Cho</t>
  </si>
  <si>
    <t>Paulsen Medical Supplies</t>
  </si>
  <si>
    <t>05/27/2026</t>
  </si>
  <si>
    <t>1015</t>
  </si>
  <si>
    <t>Installation</t>
  </si>
  <si>
    <t>Installation of landscape design</t>
  </si>
  <si>
    <t/>
  </si>
  <si>
    <t>Discount</t>
  </si>
  <si>
    <t>Total for Paulsen Medical Supplies</t>
  </si>
  <si>
    <t>Pye's Cakes</t>
  </si>
  <si>
    <t>1011</t>
  </si>
  <si>
    <t>Refund</t>
  </si>
  <si>
    <t>1020</t>
  </si>
  <si>
    <t>Refund - Pest control was ineffective</t>
  </si>
  <si>
    <t>Total for Pye's Cakes</t>
  </si>
  <si>
    <t>Red Rock Diner</t>
  </si>
  <si>
    <t>03/21/2026</t>
  </si>
  <si>
    <t>1024</t>
  </si>
  <si>
    <t>1023</t>
  </si>
  <si>
    <t>Total for Red Rock Diner</t>
  </si>
  <si>
    <t>Rondonuwu Fruit and Vegi</t>
  </si>
  <si>
    <t>1034</t>
  </si>
  <si>
    <t>Trimming</t>
  </si>
  <si>
    <t>Tree and Shrub Trimming</t>
  </si>
  <si>
    <t>Lighting</t>
  </si>
  <si>
    <t>Garden Lighting</t>
  </si>
  <si>
    <t>Total for Rondonuwu Fruit and Vegi</t>
  </si>
  <si>
    <t>Shara Barnett</t>
  </si>
  <si>
    <t>Barnett Design</t>
  </si>
  <si>
    <t>05/15/2026</t>
  </si>
  <si>
    <t>1012</t>
  </si>
  <si>
    <t>Total for Barnett Design</t>
  </si>
  <si>
    <t>Total for Shara Barnett with sub-customers</t>
  </si>
  <si>
    <t>Sonnenschein Family Store</t>
  </si>
  <si>
    <t>1037</t>
  </si>
  <si>
    <t>Total for Sonnenschein Family Store</t>
  </si>
  <si>
    <t>Sushi by Katsuyuki</t>
  </si>
  <si>
    <t>05/13/2026</t>
  </si>
  <si>
    <t>1017</t>
  </si>
  <si>
    <t>1018</t>
  </si>
  <si>
    <t>1019</t>
  </si>
  <si>
    <t>Total for Sushi by Katsuyuki</t>
  </si>
  <si>
    <t>Travis Waldron</t>
  </si>
  <si>
    <t>1013</t>
  </si>
  <si>
    <t>1009</t>
  </si>
  <si>
    <t>Lumber</t>
  </si>
  <si>
    <t>1032</t>
  </si>
  <si>
    <t>Total for Travis Waldron</t>
  </si>
  <si>
    <t>Weiskopf Consulting</t>
  </si>
  <si>
    <t>1010</t>
  </si>
  <si>
    <t>Total for Weiskopf Consulting</t>
  </si>
  <si>
    <t>TOTAL</t>
  </si>
  <si>
    <t>Transaction date</t>
  </si>
  <si>
    <t>Transaction type</t>
  </si>
  <si>
    <t>Num</t>
  </si>
  <si>
    <t>Product/Service full name</t>
  </si>
  <si>
    <t>Description</t>
  </si>
  <si>
    <t>Quantity</t>
  </si>
  <si>
    <t>Sales price</t>
  </si>
  <si>
    <t>Amount</t>
  </si>
  <si>
    <t>Balance</t>
  </si>
  <si>
    <t>Accrual Basis Tuesday, July 28, 2026 02:33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</si>
</sst>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7" formatCode="&quot;$&quot;#,##0.00"/>
    <numFmt numFmtId="178" formatCode="#,##0.00%"/>
    <numFmt numFmtId="179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6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9" fontId="0" fillId="0" borderId="0" xfId="0" applyNumberFormat="1"/>
    <xf numFmtId="179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9" fontId="2" fillId="0" borderId="0" xfId="0" applyNumberFormat="1" applyFont="1"/>
    <xf numFmtId="179" fontId="2" fillId="0" borderId="2" xfId="0" applyNumberFormat="1" applyFont="1" applyBorder="1"/>
    <xf numFmtId="179" fontId="4" fillId="0" borderId="2" xfId="0" applyNumberFormat="1" applyFont="1" applyBorder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2" fillId="0" borderId="1" xfId="20">
      <alignment/>
      <protection/>
    </xf>
    <xf numFmtId="0" fontId="8" fillId="0" borderId="1" xfId="20" applyFont="1">
      <alignment/>
      <protection/>
    </xf>
    <xf numFmtId="0" fontId="8" fillId="0" borderId="1" xfId="20" applyFont="1" applyAlignment="1">
      <alignment wrapText="1"/>
      <protection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1" xfId="20" applyFont="1" applyAlignment="1">
      <alignment horizontal="center" wrapText="1"/>
      <protection/>
    </xf>
    <xf numFmtId="179" fontId="3" fillId="0" borderId="0" xfId="0" applyNumberFormat="1" applyFont="1" applyAlignment="1">
      <alignment wrapText="1"/>
    </xf>
    <xf numFmtId="179" fontId="4" fillId="0" borderId="2" xfId="0" applyNumberFormat="1" applyFont="1" applyBorder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 indent="1"/>
    </xf>
    <xf numFmtId="0" fontId="4" fillId="0" borderId="2" xfId="0" applyFont="1" applyBorder="1" applyAlignment="1">
      <alignment horizontal="left"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J130"/>
  <sheetViews>
    <sheetView tabSelected="1" workbookViewId="0" topLeftCell="A1"/>
  </sheetViews>
  <sheetFormatPr defaultColWidth="11.255" defaultRowHeight="16"/>
  <cols>
    <col min="1" max="1" width="44.5" style="31" customWidth="1"/>
    <col min="2" max="3" width="14.375" style="31" customWidth="1"/>
    <col min="4" max="4" width="7.5" style="31" customWidth="1"/>
    <col min="5" max="5" width="22.125" style="31" customWidth="1"/>
    <col min="6" max="6" width="32.375" style="31" customWidth="1"/>
    <col min="7" max="7" width="7.5" style="31" customWidth="1"/>
    <col min="8" max="8" width="10.125" style="31" customWidth="1"/>
    <col min="9" max="10" width="7.5" style="31" customWidth="1"/>
  </cols>
  <sheetData>
    <row r="1" spans="1:1" ht="16">
      <c r="A1" s="37" t="s">
        <v>0</v>
      </c>
    </row>
    <row r="2" spans="1:1" ht="16">
      <c r="A2" s="38" t="s">
        <v>1</v>
      </c>
    </row>
    <row r="3" spans="1:1" ht="16">
      <c r="A3" s="39" t="s">
        <v>2</v>
      </c>
    </row>
    <row r="5" spans="2:10" ht="16">
      <c r="B5" s="32" t="s">
        <v>145</v>
      </c>
      <c r="C5" s="32" t="s">
        <v>146</v>
      </c>
      <c r="D5" s="32" t="s">
        <v>147</v>
      </c>
      <c r="E5" s="32" t="s">
        <v>148</v>
      </c>
      <c r="F5" s="32" t="s">
        <v>149</v>
      </c>
      <c r="G5" s="32" t="s">
        <v>150</v>
      </c>
      <c r="H5" s="32" t="s">
        <v>151</v>
      </c>
      <c r="I5" s="32" t="s">
        <v>152</v>
      </c>
      <c r="J5" s="32" t="s">
        <v>153</v>
      </c>
    </row>
    <row r="6" spans="1:1" ht="16">
      <c r="A6" s="40" t="s">
        <v>3</v>
      </c>
    </row>
    <row r="7" spans="2:10" ht="16">
      <c r="B7" s="30" t="s">
        <v>4</v>
      </c>
      <c r="C7" s="30" t="s">
        <v>5</v>
      </c>
      <c r="D7" s="30" t="s">
        <v>6</v>
      </c>
      <c r="E7" s="30" t="s">
        <v>7</v>
      </c>
      <c r="F7" s="30" t="s">
        <v>8</v>
      </c>
      <c r="G7" s="33">
        <v>4.0</v>
      </c>
      <c r="H7" s="33">
        <v>30.0</v>
      </c>
      <c r="I7" s="33">
        <v>120.0</v>
      </c>
      <c r="J7" s="33">
        <v>120.0</v>
      </c>
    </row>
    <row r="8" spans="2:10" ht="16">
      <c r="B8" s="30" t="s">
        <v>4</v>
      </c>
      <c r="C8" s="30" t="s">
        <v>5</v>
      </c>
      <c r="D8" s="30" t="s">
        <v>6</v>
      </c>
      <c r="E8" s="30" t="s">
        <v>9</v>
      </c>
      <c r="F8" s="30" t="s">
        <v>10</v>
      </c>
      <c r="G8" s="33">
        <v>1.0</v>
      </c>
      <c r="H8" s="33">
        <v>35.0</v>
      </c>
      <c r="I8" s="33">
        <v>35.0</v>
      </c>
      <c r="J8" s="33">
        <v>155.0</v>
      </c>
    </row>
    <row r="9" spans="2:10" ht="16">
      <c r="B9" s="30" t="s">
        <v>4</v>
      </c>
      <c r="C9" s="30" t="s">
        <v>5</v>
      </c>
      <c r="D9" s="30" t="s">
        <v>6</v>
      </c>
      <c r="E9" s="30" t="s">
        <v>11</v>
      </c>
      <c r="F9" s="30" t="s">
        <v>11</v>
      </c>
      <c r="G9" s="33">
        <v>1.0</v>
      </c>
      <c r="H9" s="33">
        <v>50.0</v>
      </c>
      <c r="I9" s="33">
        <v>50.0</v>
      </c>
      <c r="J9" s="33">
        <v>205.0</v>
      </c>
    </row>
    <row r="10" spans="2:10" ht="16">
      <c r="B10" s="30" t="s">
        <v>12</v>
      </c>
      <c r="C10" s="30" t="s">
        <v>5</v>
      </c>
      <c r="D10" s="30" t="s">
        <v>13</v>
      </c>
      <c r="E10" s="30" t="s">
        <v>14</v>
      </c>
      <c r="F10" s="30" t="s">
        <v>15</v>
      </c>
      <c r="G10" s="33">
        <v>15.0</v>
      </c>
      <c r="H10" s="33">
        <v>10.0</v>
      </c>
      <c r="I10" s="33">
        <v>150.0</v>
      </c>
      <c r="J10" s="33">
        <v>355.0</v>
      </c>
    </row>
    <row r="11" spans="2:10" ht="16">
      <c r="B11" s="30" t="s">
        <v>12</v>
      </c>
      <c r="C11" s="30" t="s">
        <v>5</v>
      </c>
      <c r="D11" s="30" t="s">
        <v>13</v>
      </c>
      <c r="E11" s="30" t="s">
        <v>16</v>
      </c>
      <c r="F11" s="30" t="s">
        <v>16</v>
      </c>
      <c r="G11" s="33">
        <v>1.0</v>
      </c>
      <c r="H11" s="33">
        <v>275.0</v>
      </c>
      <c r="I11" s="33">
        <v>275.0</v>
      </c>
      <c r="J11" s="33">
        <v>630.0</v>
      </c>
    </row>
    <row r="12" spans="2:10" ht="16">
      <c r="B12" s="30" t="s">
        <v>17</v>
      </c>
      <c r="C12" s="30" t="s">
        <v>18</v>
      </c>
      <c r="D12" s="30" t="s">
        <v>19</v>
      </c>
      <c r="E12" s="30" t="s">
        <v>9</v>
      </c>
      <c r="F12" s="30" t="s">
        <v>10</v>
      </c>
      <c r="G12" s="33">
        <v>-1.0</v>
      </c>
      <c r="H12" s="33">
        <v>100.0</v>
      </c>
      <c r="I12" s="33">
        <v>-100.0</v>
      </c>
      <c r="J12" s="33">
        <v>530.0</v>
      </c>
    </row>
    <row r="13" spans="2:10" ht="16">
      <c r="B13" s="30" t="s">
        <v>20</v>
      </c>
      <c r="C13" s="30" t="s">
        <v>5</v>
      </c>
      <c r="D13" s="30" t="s">
        <v>21</v>
      </c>
      <c r="E13" s="30" t="s">
        <v>7</v>
      </c>
      <c r="F13" s="30" t="s">
        <v>8</v>
      </c>
      <c r="G13" s="33">
        <v>4.0</v>
      </c>
      <c r="H13" s="33">
        <v>25.0</v>
      </c>
      <c r="I13" s="33">
        <v>100.0</v>
      </c>
      <c r="J13" s="33">
        <v>630.0</v>
      </c>
    </row>
    <row r="14" spans="1:9" ht="16">
      <c r="A14" s="41" t="s">
        <v>22</v>
      </c>
      <c r="G14" s="34">
        <f>G7+G8+G9+G10+G11+G12+G13</f>
        <v>25.0</v>
      </c>
      <c r="I14" s="36">
        <f>I7+I8+I9+I10+I11+I12+I13</f>
        <v>630.0</v>
      </c>
    </row>
    <row r="15" spans="1:1" ht="16">
      <c r="A15" s="40" t="s">
        <v>23</v>
      </c>
    </row>
    <row r="16" spans="2:10" ht="16">
      <c r="B16" s="30" t="s">
        <v>24</v>
      </c>
      <c r="C16" s="30" t="s">
        <v>5</v>
      </c>
      <c r="D16" s="30" t="s">
        <v>25</v>
      </c>
      <c r="E16" s="30" t="s">
        <v>7</v>
      </c>
      <c r="F16" s="30" t="s">
        <v>8</v>
      </c>
      <c r="G16" s="33">
        <v>4.0</v>
      </c>
      <c r="H16" s="33">
        <v>35.0</v>
      </c>
      <c r="I16" s="33">
        <v>140.0</v>
      </c>
      <c r="J16" s="33">
        <v>140.0</v>
      </c>
    </row>
    <row r="17" spans="2:10" ht="16">
      <c r="B17" s="30" t="s">
        <v>24</v>
      </c>
      <c r="C17" s="30" t="s">
        <v>5</v>
      </c>
      <c r="D17" s="30" t="s">
        <v>25</v>
      </c>
      <c r="E17" s="30" t="s">
        <v>9</v>
      </c>
      <c r="F17" s="30" t="s">
        <v>10</v>
      </c>
      <c r="G17" s="33">
        <v>1.0</v>
      </c>
      <c r="H17" s="33">
        <v>35.0</v>
      </c>
      <c r="I17" s="33">
        <v>35.0</v>
      </c>
      <c r="J17" s="33">
        <v>175.0</v>
      </c>
    </row>
    <row r="18" spans="2:10" ht="16">
      <c r="B18" s="30" t="s">
        <v>4</v>
      </c>
      <c r="C18" s="30" t="s">
        <v>5</v>
      </c>
      <c r="D18" s="30" t="s">
        <v>26</v>
      </c>
      <c r="E18" s="30" t="s">
        <v>7</v>
      </c>
      <c r="F18" s="30" t="s">
        <v>8</v>
      </c>
      <c r="G18" s="33">
        <v>2.0</v>
      </c>
      <c r="H18" s="33">
        <v>25.0</v>
      </c>
      <c r="I18" s="33">
        <v>50.0</v>
      </c>
      <c r="J18" s="33">
        <v>225.0</v>
      </c>
    </row>
    <row r="19" spans="2:10" ht="16">
      <c r="B19" s="30" t="s">
        <v>4</v>
      </c>
      <c r="C19" s="30" t="s">
        <v>5</v>
      </c>
      <c r="D19" s="30" t="s">
        <v>26</v>
      </c>
      <c r="E19" s="30" t="s">
        <v>9</v>
      </c>
      <c r="F19" s="30" t="s">
        <v>10</v>
      </c>
      <c r="G19" s="33">
        <v>1.0</v>
      </c>
      <c r="H19" s="33">
        <v>35.0</v>
      </c>
      <c r="I19" s="33">
        <v>35.0</v>
      </c>
      <c r="J19" s="33">
        <v>260.0</v>
      </c>
    </row>
    <row r="20" spans="1:9" ht="16">
      <c r="A20" s="41" t="s">
        <v>27</v>
      </c>
      <c r="G20" s="34">
        <f>G16+G17+G18+G19</f>
        <v>8.0</v>
      </c>
      <c r="I20" s="36">
        <f>I16+I17+I18+I19</f>
        <v>260.0</v>
      </c>
    </row>
    <row r="21" spans="1:1" ht="16">
      <c r="A21" s="40" t="s">
        <v>28</v>
      </c>
    </row>
    <row r="22" spans="2:10" ht="16">
      <c r="B22" s="30" t="s">
        <v>29</v>
      </c>
      <c r="C22" s="30" t="s">
        <v>5</v>
      </c>
      <c r="D22" s="30" t="s">
        <v>30</v>
      </c>
      <c r="E22" s="30" t="s">
        <v>31</v>
      </c>
      <c r="F22" s="30" t="s">
        <v>31</v>
      </c>
      <c r="G22" s="33">
        <v>10.0</v>
      </c>
      <c r="H22" s="33">
        <v>2.0</v>
      </c>
      <c r="I22" s="33">
        <v>20.0</v>
      </c>
      <c r="J22" s="33">
        <v>20.0</v>
      </c>
    </row>
    <row r="23" spans="2:10" ht="16">
      <c r="B23" s="30" t="s">
        <v>29</v>
      </c>
      <c r="C23" s="30" t="s">
        <v>5</v>
      </c>
      <c r="D23" s="30" t="s">
        <v>30</v>
      </c>
      <c r="E23" s="30" t="s">
        <v>32</v>
      </c>
      <c r="F23" s="30" t="s">
        <v>32</v>
      </c>
      <c r="G23" s="33">
        <v>6.0</v>
      </c>
      <c r="H23" s="33">
        <v>4.0</v>
      </c>
      <c r="I23" s="33">
        <v>24.0</v>
      </c>
      <c r="J23" s="33">
        <v>44.0</v>
      </c>
    </row>
    <row r="24" spans="2:10" ht="16">
      <c r="B24" s="30" t="s">
        <v>29</v>
      </c>
      <c r="C24" s="30" t="s">
        <v>5</v>
      </c>
      <c r="D24" s="30" t="s">
        <v>30</v>
      </c>
      <c r="E24" s="30" t="s">
        <v>33</v>
      </c>
      <c r="F24" s="30" t="s">
        <v>33</v>
      </c>
      <c r="G24" s="33">
        <v>50.0</v>
      </c>
      <c r="H24" s="33">
        <v>35.0</v>
      </c>
      <c r="I24" s="33">
        <v>1750.0</v>
      </c>
      <c r="J24" s="33">
        <v>1794.0</v>
      </c>
    </row>
    <row r="25" spans="2:10" ht="16">
      <c r="B25" s="30" t="s">
        <v>29</v>
      </c>
      <c r="C25" s="30" t="s">
        <v>5</v>
      </c>
      <c r="D25" s="30" t="s">
        <v>30</v>
      </c>
      <c r="E25" s="30" t="s">
        <v>34</v>
      </c>
      <c r="F25" s="30" t="s">
        <v>35</v>
      </c>
      <c r="G25" s="33">
        <v>8.0</v>
      </c>
      <c r="H25" s="33">
        <v>50.0</v>
      </c>
      <c r="I25" s="33">
        <v>400.0</v>
      </c>
      <c r="J25" s="33">
        <v>2194.0</v>
      </c>
    </row>
    <row r="26" spans="1:9" ht="16">
      <c r="A26" s="41" t="s">
        <v>36</v>
      </c>
      <c r="G26" s="34">
        <f>G22+G23+G24+G25</f>
        <v>74.0</v>
      </c>
      <c r="I26" s="36">
        <f>I22+I23+I24+I25</f>
        <v>2194.0</v>
      </c>
    </row>
    <row r="27" spans="1:1" ht="16">
      <c r="A27" s="40" t="s">
        <v>37</v>
      </c>
    </row>
    <row r="28" spans="2:10" ht="16">
      <c r="B28" s="30" t="s">
        <v>38</v>
      </c>
      <c r="C28" s="30" t="s">
        <v>39</v>
      </c>
      <c r="D28" s="30" t="s">
        <v>40</v>
      </c>
      <c r="E28" s="30" t="s">
        <v>7</v>
      </c>
      <c r="F28" s="30" t="s">
        <v>8</v>
      </c>
      <c r="G28" s="33">
        <v>4.0</v>
      </c>
      <c r="H28" s="33">
        <v>35.0</v>
      </c>
      <c r="I28" s="33">
        <v>140.0</v>
      </c>
      <c r="J28" s="33">
        <v>140.0</v>
      </c>
    </row>
    <row r="29" spans="1:9" ht="16">
      <c r="A29" s="41" t="s">
        <v>41</v>
      </c>
      <c r="G29" s="34">
        <f>G28</f>
        <v>4.0</v>
      </c>
      <c r="I29" s="36">
        <f>I28</f>
        <v>140.0</v>
      </c>
    </row>
    <row r="30" spans="1:1" ht="16">
      <c r="A30" s="40" t="s">
        <v>42</v>
      </c>
    </row>
    <row r="31" spans="2:10" ht="16">
      <c r="B31" s="30" t="s">
        <v>4</v>
      </c>
      <c r="C31" s="30" t="s">
        <v>5</v>
      </c>
      <c r="D31" s="30" t="s">
        <v>43</v>
      </c>
      <c r="E31" s="30" t="s">
        <v>44</v>
      </c>
      <c r="F31" s="30" t="s">
        <v>45</v>
      </c>
      <c r="G31" s="33">
        <v>5.0</v>
      </c>
      <c r="H31" s="33">
        <v>15.0</v>
      </c>
      <c r="I31" s="33">
        <v>75.0</v>
      </c>
      <c r="J31" s="33">
        <v>75.0</v>
      </c>
    </row>
    <row r="32" spans="2:10" ht="16">
      <c r="B32" s="30" t="s">
        <v>4</v>
      </c>
      <c r="C32" s="30" t="s">
        <v>5</v>
      </c>
      <c r="D32" s="30" t="s">
        <v>43</v>
      </c>
      <c r="E32" s="30" t="s">
        <v>46</v>
      </c>
      <c r="F32" s="30" t="s">
        <v>47</v>
      </c>
      <c r="G32" s="33">
        <v>6.0</v>
      </c>
      <c r="H32" s="33">
        <v>12.0</v>
      </c>
      <c r="I32" s="33">
        <v>72.0</v>
      </c>
      <c r="J32" s="33">
        <v>147.0</v>
      </c>
    </row>
    <row r="33" spans="2:10" ht="16">
      <c r="B33" s="30" t="s">
        <v>4</v>
      </c>
      <c r="C33" s="30" t="s">
        <v>5</v>
      </c>
      <c r="D33" s="30" t="s">
        <v>43</v>
      </c>
      <c r="E33" s="30" t="s">
        <v>16</v>
      </c>
      <c r="F33" s="30" t="s">
        <v>16</v>
      </c>
      <c r="G33" s="33">
        <v>1.0</v>
      </c>
      <c r="H33" s="33">
        <v>275.0</v>
      </c>
      <c r="I33" s="33">
        <v>275.0</v>
      </c>
      <c r="J33" s="33">
        <v>422.0</v>
      </c>
    </row>
    <row r="34" spans="1:9" ht="16">
      <c r="A34" s="41" t="s">
        <v>48</v>
      </c>
      <c r="G34" s="34">
        <f>G31+G32+G33</f>
        <v>12.0</v>
      </c>
      <c r="I34" s="36">
        <f>I31+I32+I33</f>
        <v>422.0</v>
      </c>
    </row>
    <row r="35" spans="1:1" ht="16">
      <c r="A35" s="40" t="s">
        <v>49</v>
      </c>
    </row>
    <row r="36" spans="2:10" ht="16">
      <c r="B36" s="30" t="s">
        <v>50</v>
      </c>
      <c r="C36" s="30" t="s">
        <v>39</v>
      </c>
      <c r="D36" s="30" t="s">
        <v>51</v>
      </c>
      <c r="E36" s="30" t="s">
        <v>52</v>
      </c>
      <c r="F36" s="30" t="s">
        <v>53</v>
      </c>
      <c r="G36" s="33">
        <v>4.5</v>
      </c>
      <c r="H36" s="33">
        <v>75.0</v>
      </c>
      <c r="I36" s="33">
        <v>337.5</v>
      </c>
      <c r="J36" s="33">
        <v>337.5</v>
      </c>
    </row>
    <row r="37" spans="1:9" ht="16">
      <c r="A37" s="41" t="s">
        <v>54</v>
      </c>
      <c r="G37" s="34">
        <f>G36</f>
        <v>4.5</v>
      </c>
      <c r="I37" s="36">
        <f>I36</f>
        <v>337.5</v>
      </c>
    </row>
    <row r="38" spans="1:1" ht="16">
      <c r="A38" s="40" t="s">
        <v>55</v>
      </c>
    </row>
    <row r="39" spans="1:1" ht="16">
      <c r="A39" s="42" t="s">
        <v>56</v>
      </c>
    </row>
    <row r="40" spans="2:10" ht="16">
      <c r="B40" s="30" t="s">
        <v>24</v>
      </c>
      <c r="C40" s="30" t="s">
        <v>5</v>
      </c>
      <c r="D40" s="30" t="s">
        <v>57</v>
      </c>
      <c r="E40" s="30" t="s">
        <v>7</v>
      </c>
      <c r="F40" s="30" t="s">
        <v>8</v>
      </c>
      <c r="G40" s="33">
        <v>2.0</v>
      </c>
      <c r="H40" s="33">
        <v>25.0</v>
      </c>
      <c r="I40" s="33">
        <v>50.0</v>
      </c>
      <c r="J40" s="33">
        <v>50.0</v>
      </c>
    </row>
    <row r="41" spans="2:10" ht="16">
      <c r="B41" s="30" t="s">
        <v>24</v>
      </c>
      <c r="C41" s="30" t="s">
        <v>5</v>
      </c>
      <c r="D41" s="30" t="s">
        <v>57</v>
      </c>
      <c r="E41" s="30" t="s">
        <v>9</v>
      </c>
      <c r="F41" s="30" t="s">
        <v>10</v>
      </c>
      <c r="G41" s="33">
        <v>1.0</v>
      </c>
      <c r="H41" s="33">
        <v>35.0</v>
      </c>
      <c r="I41" s="33">
        <v>35.0</v>
      </c>
      <c r="J41" s="33">
        <v>85.0</v>
      </c>
    </row>
    <row r="42" spans="2:10" ht="16">
      <c r="B42" s="30" t="s">
        <v>24</v>
      </c>
      <c r="C42" s="30" t="s">
        <v>5</v>
      </c>
      <c r="D42" s="30" t="s">
        <v>57</v>
      </c>
      <c r="E42" s="30" t="s">
        <v>33</v>
      </c>
      <c r="F42" s="30" t="s">
        <v>33</v>
      </c>
      <c r="G42" s="33">
        <v>15.0</v>
      </c>
      <c r="H42" s="33">
        <v>8.75</v>
      </c>
      <c r="I42" s="33">
        <v>131.25</v>
      </c>
      <c r="J42" s="33">
        <v>216.25</v>
      </c>
    </row>
    <row r="43" spans="2:10" ht="16">
      <c r="B43" s="30" t="s">
        <v>58</v>
      </c>
      <c r="C43" s="30" t="s">
        <v>5</v>
      </c>
      <c r="D43" s="30" t="s">
        <v>59</v>
      </c>
      <c r="E43" s="30" t="s">
        <v>7</v>
      </c>
      <c r="F43" s="30" t="s">
        <v>8</v>
      </c>
      <c r="G43" s="33">
        <v>3.0</v>
      </c>
      <c r="H43" s="33">
        <v>30.0</v>
      </c>
      <c r="I43" s="33">
        <v>90.0</v>
      </c>
      <c r="J43" s="33">
        <v>306.25</v>
      </c>
    </row>
    <row r="44" spans="2:10" ht="16">
      <c r="B44" s="30" t="s">
        <v>58</v>
      </c>
      <c r="C44" s="30" t="s">
        <v>5</v>
      </c>
      <c r="D44" s="30" t="s">
        <v>59</v>
      </c>
      <c r="E44" s="30" t="s">
        <v>16</v>
      </c>
      <c r="F44" s="30" t="s">
        <v>16</v>
      </c>
      <c r="G44" s="33">
        <v>1.0</v>
      </c>
      <c r="H44" s="33">
        <v>275.0</v>
      </c>
      <c r="I44" s="33">
        <v>275.0</v>
      </c>
      <c r="J44" s="33">
        <v>581.25</v>
      </c>
    </row>
    <row r="45" spans="2:10" ht="16">
      <c r="B45" s="30" t="s">
        <v>60</v>
      </c>
      <c r="C45" s="30" t="s">
        <v>5</v>
      </c>
      <c r="D45" s="30" t="s">
        <v>61</v>
      </c>
      <c r="E45" s="30" t="s">
        <v>33</v>
      </c>
      <c r="F45" s="30" t="s">
        <v>33</v>
      </c>
      <c r="G45" s="33">
        <v>5.0</v>
      </c>
      <c r="H45" s="33">
        <v>10.0</v>
      </c>
      <c r="I45" s="33">
        <v>50.0</v>
      </c>
      <c r="J45" s="33">
        <v>631.25</v>
      </c>
    </row>
    <row r="46" spans="2:10" ht="16">
      <c r="B46" s="30" t="s">
        <v>60</v>
      </c>
      <c r="C46" s="30" t="s">
        <v>5</v>
      </c>
      <c r="D46" s="30" t="s">
        <v>61</v>
      </c>
      <c r="E46" s="30" t="s">
        <v>14</v>
      </c>
      <c r="F46" s="30" t="s">
        <v>15</v>
      </c>
      <c r="G46" s="33">
        <v>5.0</v>
      </c>
      <c r="H46" s="33">
        <v>10.0</v>
      </c>
      <c r="I46" s="33">
        <v>50.0</v>
      </c>
      <c r="J46" s="33">
        <v>681.25</v>
      </c>
    </row>
    <row r="47" spans="2:10" ht="16">
      <c r="B47" s="30" t="s">
        <v>60</v>
      </c>
      <c r="C47" s="30" t="s">
        <v>5</v>
      </c>
      <c r="D47" s="30" t="s">
        <v>61</v>
      </c>
      <c r="E47" s="30" t="s">
        <v>7</v>
      </c>
      <c r="F47" s="30" t="s">
        <v>8</v>
      </c>
      <c r="G47" s="33">
        <v>3.5</v>
      </c>
      <c r="H47" s="33">
        <v>25.0</v>
      </c>
      <c r="I47" s="33">
        <v>87.5</v>
      </c>
      <c r="J47" s="33">
        <v>768.75</v>
      </c>
    </row>
    <row r="48" spans="2:10" ht="16">
      <c r="B48" s="30" t="s">
        <v>60</v>
      </c>
      <c r="C48" s="30" t="s">
        <v>5</v>
      </c>
      <c r="D48" s="30" t="s">
        <v>61</v>
      </c>
      <c r="E48" s="30" t="s">
        <v>16</v>
      </c>
      <c r="F48" s="30" t="s">
        <v>16</v>
      </c>
      <c r="G48" s="33">
        <v>1.0</v>
      </c>
      <c r="H48" s="33">
        <v>275.0</v>
      </c>
      <c r="I48" s="33">
        <v>275.0</v>
      </c>
      <c r="J48" s="33">
        <v>1043.75</v>
      </c>
    </row>
    <row r="49" spans="2:10" ht="16">
      <c r="B49" s="30" t="s">
        <v>60</v>
      </c>
      <c r="C49" s="30" t="s">
        <v>5</v>
      </c>
      <c r="D49" s="30" t="s">
        <v>61</v>
      </c>
      <c r="E49" s="30" t="s">
        <v>62</v>
      </c>
      <c r="F49" s="30" t="s">
        <v>63</v>
      </c>
      <c r="G49" s="33">
        <v>1.0</v>
      </c>
      <c r="H49" s="33">
        <v>15.0</v>
      </c>
      <c r="I49" s="33">
        <v>15.0</v>
      </c>
      <c r="J49" s="33">
        <v>1058.75</v>
      </c>
    </row>
    <row r="50" spans="1:9" ht="16">
      <c r="A50" s="43" t="s">
        <v>64</v>
      </c>
      <c r="G50" s="34">
        <f>G39+G40+G41+G42+G43+G44+G45+G46+G47+G48+G49</f>
        <v>37.5</v>
      </c>
      <c r="I50" s="36">
        <f>I39+I40+I41+I42+I43+I44+I45+I46+I47+I48+I49</f>
        <v>1058.75</v>
      </c>
    </row>
    <row r="51" spans="1:1" ht="16">
      <c r="A51" s="42" t="s">
        <v>65</v>
      </c>
    </row>
    <row r="52" spans="2:10" ht="16">
      <c r="B52" s="30" t="s">
        <v>4</v>
      </c>
      <c r="C52" s="30" t="s">
        <v>5</v>
      </c>
      <c r="D52" s="30" t="s">
        <v>66</v>
      </c>
      <c r="E52" s="30" t="s">
        <v>7</v>
      </c>
      <c r="F52" s="30" t="s">
        <v>8</v>
      </c>
      <c r="G52" s="33">
        <v>3.0</v>
      </c>
      <c r="H52" s="33">
        <v>25.0</v>
      </c>
      <c r="I52" s="33">
        <v>75.0</v>
      </c>
      <c r="J52" s="33">
        <v>75.0</v>
      </c>
    </row>
    <row r="53" spans="2:10" ht="16">
      <c r="B53" s="30" t="s">
        <v>67</v>
      </c>
      <c r="C53" s="30" t="s">
        <v>5</v>
      </c>
      <c r="D53" s="30" t="s">
        <v>68</v>
      </c>
      <c r="E53" s="30" t="s">
        <v>7</v>
      </c>
      <c r="F53" s="30" t="s">
        <v>8</v>
      </c>
      <c r="G53" s="33">
        <v>4.0</v>
      </c>
      <c r="H53" s="33">
        <v>20.0</v>
      </c>
      <c r="I53" s="33">
        <v>80.0</v>
      </c>
      <c r="J53" s="33">
        <v>155.0</v>
      </c>
    </row>
    <row r="54" spans="2:10" ht="16">
      <c r="B54" s="30" t="s">
        <v>69</v>
      </c>
      <c r="C54" s="30" t="s">
        <v>5</v>
      </c>
      <c r="D54" s="30" t="s">
        <v>70</v>
      </c>
      <c r="E54" s="30" t="s">
        <v>7</v>
      </c>
      <c r="F54" s="30" t="s">
        <v>8</v>
      </c>
      <c r="G54" s="33">
        <v>2.0</v>
      </c>
      <c r="H54" s="33">
        <v>25.0</v>
      </c>
      <c r="I54" s="33">
        <v>50.0</v>
      </c>
      <c r="J54" s="33">
        <v>205.0</v>
      </c>
    </row>
    <row r="55" spans="1:9" ht="16">
      <c r="A55" s="43" t="s">
        <v>71</v>
      </c>
      <c r="G55" s="34">
        <f>G51+G52+G53+G54</f>
        <v>9.0</v>
      </c>
      <c r="I55" s="36">
        <f>I51+I52+I53+I54</f>
        <v>205.0</v>
      </c>
    </row>
    <row r="56" spans="1:9" ht="16">
      <c r="A56" s="41" t="s">
        <v>72</v>
      </c>
      <c r="G56" s="34">
        <f>G50+G55</f>
        <v>46.5</v>
      </c>
      <c r="I56" s="36">
        <f>I50+I55</f>
        <v>1263.75</v>
      </c>
    </row>
    <row r="57" spans="1:1" ht="16">
      <c r="A57" s="40" t="s">
        <v>73</v>
      </c>
    </row>
    <row r="58" spans="2:10" ht="16">
      <c r="B58" s="30" t="s">
        <v>74</v>
      </c>
      <c r="C58" s="30" t="s">
        <v>5</v>
      </c>
      <c r="D58" s="30" t="s">
        <v>75</v>
      </c>
      <c r="E58" s="30" t="s">
        <v>16</v>
      </c>
      <c r="F58" s="30" t="s">
        <v>16</v>
      </c>
      <c r="G58" s="33">
        <v>1.0</v>
      </c>
      <c r="H58" s="33">
        <v>275.0</v>
      </c>
      <c r="I58" s="33">
        <v>275.0</v>
      </c>
      <c r="J58" s="33">
        <v>275.0</v>
      </c>
    </row>
    <row r="59" spans="2:10" ht="16">
      <c r="B59" s="30" t="s">
        <v>74</v>
      </c>
      <c r="C59" s="30" t="s">
        <v>5</v>
      </c>
      <c r="D59" s="30" t="s">
        <v>75</v>
      </c>
      <c r="E59" s="30" t="s">
        <v>52</v>
      </c>
      <c r="F59" s="30" t="s">
        <v>53</v>
      </c>
      <c r="G59" s="33">
        <v>3.5</v>
      </c>
      <c r="H59" s="33">
        <v>75.0</v>
      </c>
      <c r="I59" s="33">
        <v>262.5</v>
      </c>
      <c r="J59" s="33">
        <v>537.5</v>
      </c>
    </row>
    <row r="60" spans="2:10" ht="16">
      <c r="B60" s="30" t="s">
        <v>74</v>
      </c>
      <c r="C60" s="30" t="s">
        <v>5</v>
      </c>
      <c r="D60" s="30" t="s">
        <v>75</v>
      </c>
      <c r="E60" s="30" t="s">
        <v>62</v>
      </c>
      <c r="F60" s="30" t="s">
        <v>63</v>
      </c>
      <c r="G60" s="33">
        <v>2.0</v>
      </c>
      <c r="H60" s="33">
        <v>22.5</v>
      </c>
      <c r="I60" s="33">
        <v>45.0</v>
      </c>
      <c r="J60" s="33">
        <v>582.5</v>
      </c>
    </row>
    <row r="61" spans="1:9" ht="16">
      <c r="A61" s="41" t="s">
        <v>76</v>
      </c>
      <c r="G61" s="34">
        <f>G58+G59+G60</f>
        <v>6.5</v>
      </c>
      <c r="I61" s="36">
        <f>I58+I59+I60</f>
        <v>582.5</v>
      </c>
    </row>
    <row r="62" spans="1:1" ht="16">
      <c r="A62" s="40" t="s">
        <v>77</v>
      </c>
    </row>
    <row r="63" spans="2:10" ht="16">
      <c r="B63" s="30" t="s">
        <v>12</v>
      </c>
      <c r="C63" s="30" t="s">
        <v>5</v>
      </c>
      <c r="D63" s="30" t="s">
        <v>78</v>
      </c>
      <c r="E63" s="30" t="s">
        <v>7</v>
      </c>
      <c r="F63" s="30" t="s">
        <v>8</v>
      </c>
      <c r="G63" s="33">
        <v>3.0</v>
      </c>
      <c r="H63" s="33">
        <v>25.0</v>
      </c>
      <c r="I63" s="33">
        <v>75.0</v>
      </c>
      <c r="J63" s="33">
        <v>75.0</v>
      </c>
    </row>
    <row r="64" spans="1:9" ht="16">
      <c r="A64" s="41" t="s">
        <v>79</v>
      </c>
      <c r="G64" s="34">
        <f>G63</f>
        <v>3.0</v>
      </c>
      <c r="I64" s="36">
        <f>I63</f>
        <v>75.0</v>
      </c>
    </row>
    <row r="65" spans="1:1" ht="16">
      <c r="A65" s="40" t="s">
        <v>80</v>
      </c>
    </row>
    <row r="66" spans="2:10" ht="16">
      <c r="B66" s="30" t="s">
        <v>81</v>
      </c>
      <c r="C66" s="30" t="s">
        <v>5</v>
      </c>
      <c r="D66" s="30" t="s">
        <v>82</v>
      </c>
      <c r="E66" s="30" t="s">
        <v>52</v>
      </c>
      <c r="F66" s="30" t="s">
        <v>53</v>
      </c>
      <c r="G66" s="33">
        <v>10.0</v>
      </c>
      <c r="H66" s="33">
        <v>75.0</v>
      </c>
      <c r="I66" s="33">
        <v>750.0</v>
      </c>
      <c r="J66" s="33">
        <v>750.0</v>
      </c>
    </row>
    <row r="67" spans="1:9" ht="16">
      <c r="A67" s="41" t="s">
        <v>83</v>
      </c>
      <c r="G67" s="34">
        <f>G66</f>
        <v>10.0</v>
      </c>
      <c r="I67" s="36">
        <f>I66</f>
        <v>750.0</v>
      </c>
    </row>
    <row r="68" spans="1:1" ht="16">
      <c r="A68" s="40" t="s">
        <v>84</v>
      </c>
    </row>
    <row r="69" spans="2:10" ht="16">
      <c r="B69" s="30" t="s">
        <v>81</v>
      </c>
      <c r="C69" s="30" t="s">
        <v>39</v>
      </c>
      <c r="D69" s="30" t="s">
        <v>85</v>
      </c>
      <c r="E69" s="30" t="s">
        <v>52</v>
      </c>
      <c r="F69" s="30" t="s">
        <v>53</v>
      </c>
      <c r="G69" s="33">
        <v>3.0</v>
      </c>
      <c r="H69" s="33">
        <v>75.0</v>
      </c>
      <c r="I69" s="33">
        <v>225.0</v>
      </c>
      <c r="J69" s="33">
        <v>225.0</v>
      </c>
    </row>
    <row r="70" spans="1:9" ht="16">
      <c r="A70" s="41" t="s">
        <v>86</v>
      </c>
      <c r="G70" s="34">
        <f>G69</f>
        <v>3.0</v>
      </c>
      <c r="I70" s="36">
        <f>I69</f>
        <v>225.0</v>
      </c>
    </row>
    <row r="71" spans="1:1" ht="16">
      <c r="A71" s="40" t="s">
        <v>87</v>
      </c>
    </row>
    <row r="72" spans="2:10" ht="16">
      <c r="B72" s="30" t="s">
        <v>88</v>
      </c>
      <c r="C72" s="30" t="s">
        <v>5</v>
      </c>
      <c r="D72" s="30" t="s">
        <v>89</v>
      </c>
      <c r="E72" s="30" t="s">
        <v>7</v>
      </c>
      <c r="F72" s="30" t="s">
        <v>8</v>
      </c>
      <c r="G72" s="33">
        <v>3.0</v>
      </c>
      <c r="H72" s="33">
        <v>25.0</v>
      </c>
      <c r="I72" s="33">
        <v>75.0</v>
      </c>
      <c r="J72" s="33">
        <v>75.0</v>
      </c>
    </row>
    <row r="73" spans="1:9" ht="16">
      <c r="A73" s="41" t="s">
        <v>90</v>
      </c>
      <c r="G73" s="34">
        <f>G72</f>
        <v>3.0</v>
      </c>
      <c r="I73" s="36">
        <f>I72</f>
        <v>75.0</v>
      </c>
    </row>
    <row r="74" spans="1:1" ht="16">
      <c r="A74" s="40" t="s">
        <v>91</v>
      </c>
    </row>
    <row r="75" spans="2:10" ht="16">
      <c r="B75" s="30" t="s">
        <v>60</v>
      </c>
      <c r="C75" s="30" t="s">
        <v>5</v>
      </c>
      <c r="D75" s="30" t="s">
        <v>92</v>
      </c>
      <c r="E75" s="30" t="s">
        <v>16</v>
      </c>
      <c r="F75" s="30" t="s">
        <v>16</v>
      </c>
      <c r="G75" s="33">
        <v>1.0</v>
      </c>
      <c r="H75" s="33">
        <v>275.0</v>
      </c>
      <c r="I75" s="33">
        <v>275.0</v>
      </c>
      <c r="J75" s="33">
        <v>275.0</v>
      </c>
    </row>
    <row r="76" spans="2:10" ht="16">
      <c r="B76" s="30" t="s">
        <v>60</v>
      </c>
      <c r="C76" s="30" t="s">
        <v>5</v>
      </c>
      <c r="D76" s="30" t="s">
        <v>92</v>
      </c>
      <c r="E76" s="30" t="s">
        <v>32</v>
      </c>
      <c r="F76" s="30" t="s">
        <v>32</v>
      </c>
      <c r="G76" s="33">
        <v>4.0</v>
      </c>
      <c r="H76" s="33">
        <v>4.0</v>
      </c>
      <c r="I76" s="33">
        <v>16.0</v>
      </c>
      <c r="J76" s="33">
        <v>291.0</v>
      </c>
    </row>
    <row r="77" spans="1:9" ht="16">
      <c r="A77" s="41" t="s">
        <v>93</v>
      </c>
      <c r="G77" s="34">
        <f>G75+G76</f>
        <v>5.0</v>
      </c>
      <c r="I77" s="36">
        <f>I75+I76</f>
        <v>291.0</v>
      </c>
    </row>
    <row r="78" spans="1:1" ht="16">
      <c r="A78" s="40" t="s">
        <v>94</v>
      </c>
    </row>
    <row r="79" spans="2:10" ht="16">
      <c r="B79" s="30" t="s">
        <v>95</v>
      </c>
      <c r="C79" s="30" t="s">
        <v>5</v>
      </c>
      <c r="D79" s="30" t="s">
        <v>96</v>
      </c>
      <c r="E79" s="30" t="s">
        <v>52</v>
      </c>
      <c r="F79" s="30" t="s">
        <v>53</v>
      </c>
      <c r="G79" s="33">
        <v>4.0</v>
      </c>
      <c r="H79" s="33">
        <v>75.0</v>
      </c>
      <c r="I79" s="33">
        <v>300.0</v>
      </c>
      <c r="J79" s="33">
        <v>300.0</v>
      </c>
    </row>
    <row r="80" spans="2:10" ht="16">
      <c r="B80" s="30" t="s">
        <v>95</v>
      </c>
      <c r="C80" s="30" t="s">
        <v>5</v>
      </c>
      <c r="D80" s="30" t="s">
        <v>96</v>
      </c>
      <c r="E80" s="30" t="s">
        <v>97</v>
      </c>
      <c r="F80" s="30" t="s">
        <v>98</v>
      </c>
      <c r="G80" s="33">
        <v>5.0</v>
      </c>
      <c r="H80" s="33">
        <v>50.0</v>
      </c>
      <c r="I80" s="33">
        <v>250.0</v>
      </c>
      <c r="J80" s="33">
        <v>550.0</v>
      </c>
    </row>
    <row r="81" spans="2:10" ht="16">
      <c r="B81" s="30" t="s">
        <v>95</v>
      </c>
      <c r="C81" s="30" t="s">
        <v>5</v>
      </c>
      <c r="D81" s="30" t="s">
        <v>96</v>
      </c>
      <c r="E81" s="30" t="s">
        <v>16</v>
      </c>
      <c r="F81" s="30" t="s">
        <v>16</v>
      </c>
      <c r="G81" s="33">
        <v>1.0</v>
      </c>
      <c r="H81" s="33">
        <v>275.0</v>
      </c>
      <c r="I81" s="33">
        <v>275.0</v>
      </c>
      <c r="J81" s="33">
        <v>825.0</v>
      </c>
    </row>
    <row r="82" spans="2:10" ht="16">
      <c r="B82" s="30" t="s">
        <v>95</v>
      </c>
      <c r="C82" s="30" t="s">
        <v>5</v>
      </c>
      <c r="D82" s="30" t="s">
        <v>96</v>
      </c>
      <c r="E82" s="30" t="s">
        <v>46</v>
      </c>
      <c r="F82" s="30" t="s">
        <v>47</v>
      </c>
      <c r="G82" s="33">
        <v>8.0</v>
      </c>
      <c r="H82" s="33">
        <v>22.5</v>
      </c>
      <c r="I82" s="33">
        <v>180.0</v>
      </c>
      <c r="J82" s="33">
        <v>1005.0</v>
      </c>
    </row>
    <row r="83" spans="2:10" ht="16">
      <c r="B83" s="30" t="s">
        <v>95</v>
      </c>
      <c r="C83" s="30" t="s">
        <v>5</v>
      </c>
      <c r="D83" s="30" t="s">
        <v>96</v>
      </c>
      <c r="E83" s="30" t="s">
        <v>99</v>
      </c>
      <c r="F83" s="30" t="s">
        <v>100</v>
      </c>
      <c r="G83" s="33">
        <v>-1005.0</v>
      </c>
      <c r="H83" s="35">
        <v>0.05</v>
      </c>
      <c r="I83" s="33">
        <v>-50.25</v>
      </c>
      <c r="J83" s="33">
        <v>954.75</v>
      </c>
    </row>
    <row r="84" spans="1:9" ht="16">
      <c r="A84" s="41" t="s">
        <v>101</v>
      </c>
      <c r="G84" s="34">
        <f>G79+G80+G81+G82+G83</f>
        <v>-987.0</v>
      </c>
      <c r="I84" s="36">
        <f>I79+I80+I81+I82+I83</f>
        <v>954.75</v>
      </c>
    </row>
    <row r="85" spans="1:1" ht="16">
      <c r="A85" s="40" t="s">
        <v>102</v>
      </c>
    </row>
    <row r="86" spans="2:10" ht="16">
      <c r="B86" s="30" t="s">
        <v>95</v>
      </c>
      <c r="C86" s="30" t="s">
        <v>39</v>
      </c>
      <c r="D86" s="30" t="s">
        <v>103</v>
      </c>
      <c r="E86" s="30" t="s">
        <v>9</v>
      </c>
      <c r="F86" s="30" t="s">
        <v>10</v>
      </c>
      <c r="G86" s="33">
        <v>2.5</v>
      </c>
      <c r="H86" s="33">
        <v>35.0</v>
      </c>
      <c r="I86" s="33">
        <v>87.5</v>
      </c>
      <c r="J86" s="33">
        <v>87.5</v>
      </c>
    </row>
    <row r="87" spans="2:10" ht="16">
      <c r="B87" s="30" t="s">
        <v>95</v>
      </c>
      <c r="C87" s="30" t="s">
        <v>39</v>
      </c>
      <c r="D87" s="30" t="s">
        <v>103</v>
      </c>
      <c r="E87" s="30" t="s">
        <v>99</v>
      </c>
      <c r="F87" s="30" t="s">
        <v>100</v>
      </c>
      <c r="G87" s="33">
        <v>-87.5</v>
      </c>
      <c r="H87" s="35">
        <v>0.1</v>
      </c>
      <c r="I87" s="33">
        <v>-8.75</v>
      </c>
      <c r="J87" s="33">
        <v>78.75</v>
      </c>
    </row>
    <row r="88" spans="2:10" ht="16">
      <c r="B88" s="30" t="s">
        <v>95</v>
      </c>
      <c r="C88" s="30" t="s">
        <v>104</v>
      </c>
      <c r="D88" s="30" t="s">
        <v>105</v>
      </c>
      <c r="E88" s="30" t="s">
        <v>9</v>
      </c>
      <c r="F88" s="30" t="s">
        <v>106</v>
      </c>
      <c r="G88" s="33">
        <v>-2.5</v>
      </c>
      <c r="H88" s="33">
        <v>35.0</v>
      </c>
      <c r="I88" s="33">
        <v>-87.5</v>
      </c>
      <c r="J88" s="33">
        <v>-8.75</v>
      </c>
    </row>
    <row r="89" spans="1:9" ht="16">
      <c r="A89" s="41" t="s">
        <v>107</v>
      </c>
      <c r="G89" s="34">
        <f>G86+G87+G88</f>
        <v>-87.5</v>
      </c>
      <c r="I89" s="36">
        <f>I86+I87+I88</f>
        <v>-8.75</v>
      </c>
    </row>
    <row r="90" spans="1:1" ht="16">
      <c r="A90" s="40" t="s">
        <v>108</v>
      </c>
    </row>
    <row r="91" spans="2:10" ht="16">
      <c r="B91" s="30" t="s">
        <v>109</v>
      </c>
      <c r="C91" s="30" t="s">
        <v>5</v>
      </c>
      <c r="D91" s="30" t="s">
        <v>110</v>
      </c>
      <c r="E91" s="30" t="s">
        <v>32</v>
      </c>
      <c r="F91" s="30" t="s">
        <v>32</v>
      </c>
      <c r="G91" s="33">
        <v>12.0</v>
      </c>
      <c r="H91" s="33">
        <v>4.0</v>
      </c>
      <c r="I91" s="33">
        <v>48.0</v>
      </c>
      <c r="J91" s="33">
        <v>48.0</v>
      </c>
    </row>
    <row r="92" spans="2:10" ht="16">
      <c r="B92" s="30" t="s">
        <v>109</v>
      </c>
      <c r="C92" s="30" t="s">
        <v>5</v>
      </c>
      <c r="D92" s="30" t="s">
        <v>110</v>
      </c>
      <c r="E92" s="30" t="s">
        <v>32</v>
      </c>
      <c r="F92" s="30" t="s">
        <v>32</v>
      </c>
      <c r="G92" s="33">
        <v>15.0</v>
      </c>
      <c r="H92" s="33">
        <v>4.0</v>
      </c>
      <c r="I92" s="33">
        <v>60.0</v>
      </c>
      <c r="J92" s="33">
        <v>108.0</v>
      </c>
    </row>
    <row r="93" spans="2:10" ht="16">
      <c r="B93" s="30" t="s">
        <v>109</v>
      </c>
      <c r="C93" s="30" t="s">
        <v>5</v>
      </c>
      <c r="D93" s="30" t="s">
        <v>110</v>
      </c>
      <c r="E93" s="30" t="s">
        <v>46</v>
      </c>
      <c r="F93" s="30" t="s">
        <v>47</v>
      </c>
      <c r="G93" s="33">
        <v>4.0</v>
      </c>
      <c r="H93" s="33">
        <v>12.0</v>
      </c>
      <c r="I93" s="33">
        <v>48.0</v>
      </c>
      <c r="J93" s="33">
        <v>156.0</v>
      </c>
    </row>
    <row r="94" spans="2:10" ht="16">
      <c r="B94" s="30" t="s">
        <v>95</v>
      </c>
      <c r="C94" s="30" t="s">
        <v>5</v>
      </c>
      <c r="D94" s="30" t="s">
        <v>111</v>
      </c>
      <c r="E94" s="30" t="s">
        <v>9</v>
      </c>
      <c r="F94" s="30" t="s">
        <v>10</v>
      </c>
      <c r="G94" s="33">
        <v>2.0</v>
      </c>
      <c r="H94" s="33">
        <v>35.0</v>
      </c>
      <c r="I94" s="33">
        <v>70.0</v>
      </c>
      <c r="J94" s="33">
        <v>226.0</v>
      </c>
    </row>
    <row r="95" spans="1:9" ht="16">
      <c r="A95" s="41" t="s">
        <v>112</v>
      </c>
      <c r="G95" s="34">
        <f>G91+G92+G93+G94</f>
        <v>33.0</v>
      </c>
      <c r="I95" s="36">
        <f>I91+I92+I93+I94</f>
        <v>226.0</v>
      </c>
    </row>
    <row r="96" spans="1:1" ht="16">
      <c r="A96" s="40" t="s">
        <v>113</v>
      </c>
    </row>
    <row r="97" spans="2:10" ht="16">
      <c r="B97" s="30" t="s">
        <v>74</v>
      </c>
      <c r="C97" s="30" t="s">
        <v>5</v>
      </c>
      <c r="D97" s="30" t="s">
        <v>114</v>
      </c>
      <c r="E97" s="30" t="s">
        <v>115</v>
      </c>
      <c r="F97" s="30" t="s">
        <v>116</v>
      </c>
      <c r="G97" s="33">
        <v>2.0</v>
      </c>
      <c r="H97" s="33">
        <v>15.0</v>
      </c>
      <c r="I97" s="33">
        <v>30.0</v>
      </c>
      <c r="J97" s="33">
        <v>30.0</v>
      </c>
    </row>
    <row r="98" spans="2:10" ht="16">
      <c r="B98" s="30" t="s">
        <v>74</v>
      </c>
      <c r="C98" s="30" t="s">
        <v>5</v>
      </c>
      <c r="D98" s="30" t="s">
        <v>114</v>
      </c>
      <c r="E98" s="30" t="s">
        <v>117</v>
      </c>
      <c r="F98" s="30" t="s">
        <v>118</v>
      </c>
      <c r="G98" s="33">
        <v>3.0</v>
      </c>
      <c r="H98" s="33">
        <v>15.0</v>
      </c>
      <c r="I98" s="33">
        <v>45.0</v>
      </c>
      <c r="J98" s="33">
        <v>75.0</v>
      </c>
    </row>
    <row r="99" spans="1:9" ht="16">
      <c r="A99" s="41" t="s">
        <v>119</v>
      </c>
      <c r="G99" s="34">
        <f>G97+G98</f>
        <v>5.0</v>
      </c>
      <c r="I99" s="36">
        <f>I97+I98</f>
        <v>75.0</v>
      </c>
    </row>
    <row r="100" spans="1:1" ht="16">
      <c r="A100" s="40" t="s">
        <v>120</v>
      </c>
    </row>
    <row r="101" spans="1:1" ht="16">
      <c r="A101" s="42" t="s">
        <v>121</v>
      </c>
    </row>
    <row r="102" spans="2:10" ht="16">
      <c r="B102" s="30" t="s">
        <v>122</v>
      </c>
      <c r="C102" s="30" t="s">
        <v>5</v>
      </c>
      <c r="D102" s="30" t="s">
        <v>123</v>
      </c>
      <c r="E102" s="30" t="s">
        <v>31</v>
      </c>
      <c r="F102" s="30" t="s">
        <v>31</v>
      </c>
      <c r="G102" s="33">
        <v>15.0</v>
      </c>
      <c r="H102" s="33">
        <v>2.0</v>
      </c>
      <c r="I102" s="33">
        <v>30.0</v>
      </c>
      <c r="J102" s="33">
        <v>30.0</v>
      </c>
    </row>
    <row r="103" spans="2:10" ht="16">
      <c r="B103" s="30" t="s">
        <v>122</v>
      </c>
      <c r="C103" s="30" t="s">
        <v>5</v>
      </c>
      <c r="D103" s="30" t="s">
        <v>123</v>
      </c>
      <c r="E103" s="30" t="s">
        <v>16</v>
      </c>
      <c r="F103" s="30" t="s">
        <v>16</v>
      </c>
      <c r="G103" s="33">
        <v>1.0</v>
      </c>
      <c r="H103" s="33">
        <v>275.0</v>
      </c>
      <c r="I103" s="33">
        <v>275.0</v>
      </c>
      <c r="J103" s="33">
        <v>305.0</v>
      </c>
    </row>
    <row r="104" spans="2:10" ht="16">
      <c r="B104" s="30" t="s">
        <v>122</v>
      </c>
      <c r="C104" s="30" t="s">
        <v>5</v>
      </c>
      <c r="D104" s="30" t="s">
        <v>123</v>
      </c>
      <c r="E104" s="30" t="s">
        <v>99</v>
      </c>
      <c r="F104" s="30" t="s">
        <v>100</v>
      </c>
      <c r="G104" s="33">
        <v>-305.0</v>
      </c>
      <c r="H104" s="35">
        <v>0.1</v>
      </c>
      <c r="I104" s="33">
        <v>-30.5</v>
      </c>
      <c r="J104" s="33">
        <v>274.5</v>
      </c>
    </row>
    <row r="105" spans="1:9" ht="16">
      <c r="A105" s="43" t="s">
        <v>124</v>
      </c>
      <c r="G105" s="34">
        <f>G101+G102+G103+G104</f>
        <v>-289.0</v>
      </c>
      <c r="I105" s="36">
        <f>I101+I102+I103+I104</f>
        <v>274.5</v>
      </c>
    </row>
    <row r="106" spans="1:9" ht="16">
      <c r="A106" s="41" t="s">
        <v>125</v>
      </c>
      <c r="G106" s="34">
        <f>G105</f>
        <v>-289.0</v>
      </c>
      <c r="I106" s="36">
        <f>I105</f>
        <v>274.5</v>
      </c>
    </row>
    <row r="107" spans="1:1" ht="16">
      <c r="A107" s="40" t="s">
        <v>126</v>
      </c>
    </row>
    <row r="108" spans="2:10" ht="16">
      <c r="B108" s="30" t="s">
        <v>60</v>
      </c>
      <c r="C108" s="30" t="s">
        <v>5</v>
      </c>
      <c r="D108" s="30" t="s">
        <v>127</v>
      </c>
      <c r="E108" s="30" t="s">
        <v>16</v>
      </c>
      <c r="F108" s="30" t="s">
        <v>16</v>
      </c>
      <c r="G108" s="33">
        <v>1.0</v>
      </c>
      <c r="H108" s="33">
        <v>275.0</v>
      </c>
      <c r="I108" s="33">
        <v>275.0</v>
      </c>
      <c r="J108" s="33">
        <v>275.0</v>
      </c>
    </row>
    <row r="109" spans="2:10" ht="16">
      <c r="B109" s="30" t="s">
        <v>60</v>
      </c>
      <c r="C109" s="30" t="s">
        <v>5</v>
      </c>
      <c r="D109" s="30" t="s">
        <v>127</v>
      </c>
      <c r="E109" s="30" t="s">
        <v>62</v>
      </c>
      <c r="F109" s="30" t="s">
        <v>63</v>
      </c>
      <c r="G109" s="33">
        <v>1.0</v>
      </c>
      <c r="H109" s="33">
        <v>12.75</v>
      </c>
      <c r="I109" s="33">
        <v>12.75</v>
      </c>
      <c r="J109" s="33">
        <v>287.75</v>
      </c>
    </row>
    <row r="110" spans="2:10" ht="16">
      <c r="B110" s="30" t="s">
        <v>60</v>
      </c>
      <c r="C110" s="30" t="s">
        <v>5</v>
      </c>
      <c r="D110" s="30" t="s">
        <v>127</v>
      </c>
      <c r="E110" s="30" t="s">
        <v>44</v>
      </c>
      <c r="F110" s="30" t="s">
        <v>45</v>
      </c>
      <c r="G110" s="33">
        <v>5.0</v>
      </c>
      <c r="H110" s="33">
        <v>9.5</v>
      </c>
      <c r="I110" s="33">
        <v>47.5</v>
      </c>
      <c r="J110" s="33">
        <v>335.25</v>
      </c>
    </row>
    <row r="111" spans="1:9" ht="16">
      <c r="A111" s="41" t="s">
        <v>128</v>
      </c>
      <c r="G111" s="34">
        <f>G108+G109+G110</f>
        <v>7.0</v>
      </c>
      <c r="I111" s="36">
        <f>I108+I109+I110</f>
        <v>335.25</v>
      </c>
    </row>
    <row r="112" spans="1:1" ht="16">
      <c r="A112" s="40" t="s">
        <v>129</v>
      </c>
    </row>
    <row r="113" spans="2:10" ht="16">
      <c r="B113" s="30" t="s">
        <v>130</v>
      </c>
      <c r="C113" s="30" t="s">
        <v>5</v>
      </c>
      <c r="D113" s="30" t="s">
        <v>131</v>
      </c>
      <c r="E113" s="30" t="s">
        <v>7</v>
      </c>
      <c r="F113" s="30" t="s">
        <v>8</v>
      </c>
      <c r="G113" s="33">
        <v>4.0</v>
      </c>
      <c r="H113" s="33">
        <v>20.0</v>
      </c>
      <c r="I113" s="33">
        <v>80.0</v>
      </c>
      <c r="J113" s="33">
        <v>80.0</v>
      </c>
    </row>
    <row r="114" spans="2:10" ht="16">
      <c r="B114" s="30" t="s">
        <v>69</v>
      </c>
      <c r="C114" s="30" t="s">
        <v>5</v>
      </c>
      <c r="D114" s="30" t="s">
        <v>132</v>
      </c>
      <c r="E114" s="30" t="s">
        <v>7</v>
      </c>
      <c r="F114" s="30" t="s">
        <v>8</v>
      </c>
      <c r="G114" s="33">
        <v>4.0</v>
      </c>
      <c r="H114" s="33">
        <v>20.0</v>
      </c>
      <c r="I114" s="33">
        <v>80.0</v>
      </c>
      <c r="J114" s="33">
        <v>160.0</v>
      </c>
    </row>
    <row r="115" spans="2:10" ht="16">
      <c r="B115" s="30" t="s">
        <v>95</v>
      </c>
      <c r="C115" s="30" t="s">
        <v>5</v>
      </c>
      <c r="D115" s="30" t="s">
        <v>133</v>
      </c>
      <c r="E115" s="30" t="s">
        <v>7</v>
      </c>
      <c r="F115" s="30" t="s">
        <v>8</v>
      </c>
      <c r="G115" s="33">
        <v>4.0</v>
      </c>
      <c r="H115" s="33">
        <v>20.0</v>
      </c>
      <c r="I115" s="33">
        <v>80.0</v>
      </c>
      <c r="J115" s="33">
        <v>240.0</v>
      </c>
    </row>
    <row r="116" spans="1:9" ht="16">
      <c r="A116" s="41" t="s">
        <v>134</v>
      </c>
      <c r="G116" s="34">
        <f>G113+G114+G115</f>
        <v>12.0</v>
      </c>
      <c r="I116" s="36">
        <f>I113+I114+I115</f>
        <v>240.0</v>
      </c>
    </row>
    <row r="117" spans="1:1" ht="16">
      <c r="A117" s="40" t="s">
        <v>135</v>
      </c>
    </row>
    <row r="118" spans="2:10" ht="16">
      <c r="B118" s="30" t="s">
        <v>29</v>
      </c>
      <c r="C118" s="30" t="s">
        <v>5</v>
      </c>
      <c r="D118" s="30" t="s">
        <v>136</v>
      </c>
      <c r="E118" s="30" t="s">
        <v>7</v>
      </c>
      <c r="F118" s="30" t="s">
        <v>8</v>
      </c>
      <c r="G118" s="33">
        <v>3.0</v>
      </c>
      <c r="H118" s="33">
        <v>25.0</v>
      </c>
      <c r="I118" s="33">
        <v>75.0</v>
      </c>
      <c r="J118" s="33">
        <v>75.0</v>
      </c>
    </row>
    <row r="119" spans="2:10" ht="16">
      <c r="B119" s="30" t="s">
        <v>20</v>
      </c>
      <c r="C119" s="30" t="s">
        <v>5</v>
      </c>
      <c r="D119" s="30" t="s">
        <v>137</v>
      </c>
      <c r="E119" s="30" t="s">
        <v>34</v>
      </c>
      <c r="F119" s="30" t="s">
        <v>138</v>
      </c>
      <c r="G119" s="30"/>
      <c r="H119" s="30"/>
      <c r="I119" s="33">
        <v>103.55</v>
      </c>
      <c r="J119" s="33">
        <v>178.55</v>
      </c>
    </row>
    <row r="120" spans="2:10" ht="16">
      <c r="B120" s="30" t="s">
        <v>20</v>
      </c>
      <c r="C120" s="30" t="s">
        <v>5</v>
      </c>
      <c r="D120" s="30" t="s">
        <v>139</v>
      </c>
      <c r="E120" s="30" t="s">
        <v>33</v>
      </c>
      <c r="F120" s="30" t="s">
        <v>33</v>
      </c>
      <c r="G120" s="33">
        <v>20.0</v>
      </c>
      <c r="H120" s="33">
        <v>15.0</v>
      </c>
      <c r="I120" s="33">
        <v>300.0</v>
      </c>
      <c r="J120" s="33">
        <v>478.55</v>
      </c>
    </row>
    <row r="121" spans="2:10" ht="16">
      <c r="B121" s="30" t="s">
        <v>20</v>
      </c>
      <c r="C121" s="30" t="s">
        <v>5</v>
      </c>
      <c r="D121" s="30" t="s">
        <v>139</v>
      </c>
      <c r="E121" s="30" t="s">
        <v>46</v>
      </c>
      <c r="F121" s="30" t="s">
        <v>47</v>
      </c>
      <c r="G121" s="33">
        <v>7.0</v>
      </c>
      <c r="H121" s="33">
        <v>12.0</v>
      </c>
      <c r="I121" s="33">
        <v>84.0</v>
      </c>
      <c r="J121" s="33">
        <v>562.55</v>
      </c>
    </row>
    <row r="122" spans="1:9" ht="16">
      <c r="A122" s="41" t="s">
        <v>140</v>
      </c>
      <c r="G122" s="34">
        <f>G118+G119+G120+G121</f>
        <v>30.0</v>
      </c>
      <c r="I122" s="36">
        <f>I118+I119+I120+I121</f>
        <v>562.55</v>
      </c>
    </row>
    <row r="123" spans="1:1" ht="16">
      <c r="A123" s="40" t="s">
        <v>141</v>
      </c>
    </row>
    <row r="124" spans="2:10" ht="16">
      <c r="B124" s="30" t="s">
        <v>95</v>
      </c>
      <c r="C124" s="30" t="s">
        <v>5</v>
      </c>
      <c r="D124" s="30" t="s">
        <v>142</v>
      </c>
      <c r="E124" s="30" t="s">
        <v>52</v>
      </c>
      <c r="F124" s="30" t="s">
        <v>53</v>
      </c>
      <c r="G124" s="33">
        <v>5.0</v>
      </c>
      <c r="H124" s="33">
        <v>75.0</v>
      </c>
      <c r="I124" s="33">
        <v>375.0</v>
      </c>
      <c r="J124" s="33">
        <v>375.0</v>
      </c>
    </row>
    <row r="125" spans="1:9" ht="16">
      <c r="A125" s="41" t="s">
        <v>143</v>
      </c>
      <c r="G125" s="34">
        <f>G124</f>
        <v>5.0</v>
      </c>
      <c r="I125" s="36">
        <f>I124</f>
        <v>375.0</v>
      </c>
    </row>
    <row r="126" spans="1:9" ht="16">
      <c r="A126" s="44" t="s">
        <v>144</v>
      </c>
      <c r="G126" s="34">
        <f>G14+G20+G26+G29+G34+G37+G56+G61+G64+G67+G70+G73+G77+G84+G89+G95+G99+G106+G111+G116+G122+G125</f>
        <v>-1067.0</v>
      </c>
      <c r="I126" s="36">
        <f>I14+I20+I26+I29+I34+I37+I56+I61+I64+I67+I70+I73+I77+I84+I89+I95+I99+I106+I111+I116+I122+I125</f>
        <v>10280.05</v>
      </c>
    </row>
    <row r="130" spans="1:1" ht="16">
      <c r="A130" s="45" t="s">
        <v>154</v>
      </c>
    </row>
  </sheetData>
  <mergeCells count="4">
    <mergeCell ref="A1:I1"/>
    <mergeCell ref="A2:I2"/>
    <mergeCell ref="A3:I3"/>
    <mergeCell ref="A130:I13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